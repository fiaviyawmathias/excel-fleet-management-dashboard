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3"/>
  <workbookPr/>
  <mc:AlternateContent xmlns:mc="http://schemas.openxmlformats.org/markup-compatibility/2006">
    <mc:Choice Requires="x15">
      <x15ac:absPath xmlns:x15ac="http://schemas.microsoft.com/office/spreadsheetml/2010/11/ac" url="https://d.docs.live.net/97D79E56AE01A86B/Documents/"/>
    </mc:Choice>
  </mc:AlternateContent>
  <xr:revisionPtr revIDLastSave="0" documentId="8_{83A7D49A-1BD5-624F-B621-6E5D9647E357}" xr6:coauthVersionLast="47" xr6:coauthVersionMax="47" xr10:uidLastSave="{00000000-0000-0000-0000-000000000000}"/>
  <bookViews>
    <workbookView xWindow="-120" yWindow="-120" windowWidth="24240" windowHeight="13140" xr2:uid="{826F8ED6-57F0-474A-811D-ED8E16864965}"/>
  </bookViews>
  <sheets>
    <sheet name="Vehicle Register" sheetId="1" r:id="rId1"/>
    <sheet name="Driver Trip Log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E14" i="3"/>
  <c r="E13" i="3"/>
  <c r="E12" i="3"/>
  <c r="E9" i="3"/>
  <c r="E8" i="3"/>
  <c r="I9" i="1"/>
  <c r="J9" i="1"/>
  <c r="K9" i="1"/>
  <c r="L9" i="1"/>
  <c r="M9" i="1"/>
  <c r="I8" i="1"/>
  <c r="J8" i="1"/>
  <c r="K8" i="1"/>
  <c r="L8" i="1"/>
  <c r="M8" i="1"/>
  <c r="I7" i="1"/>
  <c r="J7" i="1"/>
  <c r="K7" i="1"/>
  <c r="L7" i="1"/>
  <c r="M7" i="1"/>
  <c r="I6" i="1"/>
  <c r="J6" i="1"/>
  <c r="K6" i="1"/>
  <c r="L6" i="1"/>
  <c r="M6" i="1"/>
  <c r="G17" i="3"/>
  <c r="H14" i="3"/>
  <c r="H13" i="3"/>
  <c r="H12" i="3"/>
  <c r="H3" i="3"/>
  <c r="B8" i="3"/>
  <c r="B7" i="3"/>
  <c r="B6" i="3"/>
  <c r="B5" i="3"/>
  <c r="B4" i="3"/>
  <c r="B24" i="2"/>
  <c r="B27" i="2"/>
  <c r="B26" i="2"/>
  <c r="B25" i="2"/>
  <c r="K12" i="2"/>
  <c r="K11" i="2"/>
  <c r="K10" i="2"/>
  <c r="K9" i="2"/>
  <c r="K8" i="2"/>
  <c r="K7" i="2"/>
  <c r="K6" i="2"/>
  <c r="I6" i="2"/>
  <c r="K2" i="2"/>
  <c r="I3" i="2"/>
  <c r="K3" i="2"/>
  <c r="I5" i="2"/>
  <c r="K5" i="2"/>
  <c r="I4" i="2"/>
  <c r="K4" i="2"/>
  <c r="L2" i="1"/>
  <c r="L3" i="1"/>
  <c r="L4" i="1"/>
  <c r="L5" i="1"/>
  <c r="M2" i="1"/>
  <c r="M3" i="1"/>
  <c r="M4" i="1"/>
  <c r="M5" i="1"/>
  <c r="J3" i="1"/>
  <c r="J4" i="1"/>
  <c r="J5" i="1"/>
  <c r="J2" i="1"/>
  <c r="K2" i="1"/>
  <c r="K3" i="1"/>
  <c r="K4" i="1"/>
  <c r="K5" i="1"/>
  <c r="I5" i="1"/>
  <c r="I4" i="1"/>
  <c r="I3" i="1"/>
  <c r="I2" i="1"/>
  <c r="B14" i="3"/>
  <c r="B16" i="3"/>
  <c r="B17" i="3"/>
  <c r="B15" i="3"/>
  <c r="B13" i="3"/>
  <c r="B12" i="3"/>
  <c r="E5" i="3"/>
  <c r="E7" i="3"/>
  <c r="E4" i="3"/>
  <c r="E6" i="3"/>
</calcChain>
</file>

<file path=xl/sharedStrings.xml><?xml version="1.0" encoding="utf-8"?>
<sst xmlns="http://schemas.openxmlformats.org/spreadsheetml/2006/main" count="158" uniqueCount="94">
  <si>
    <t xml:space="preserve">Vehicle No.               </t>
  </si>
  <si>
    <t>Vehicle Type</t>
  </si>
  <si>
    <t>Registtration No.</t>
  </si>
  <si>
    <t>Insurance Expiry</t>
  </si>
  <si>
    <t>Roadworthy Expiry</t>
  </si>
  <si>
    <t xml:space="preserve">Last service </t>
  </si>
  <si>
    <t xml:space="preserve">Next Service </t>
  </si>
  <si>
    <t>Status</t>
  </si>
  <si>
    <t>GN 6791-22</t>
  </si>
  <si>
    <t>Toyota Coaster</t>
  </si>
  <si>
    <t>Suzuki Carry</t>
  </si>
  <si>
    <t>GE 3864-17</t>
  </si>
  <si>
    <t>Hyundai H-1</t>
  </si>
  <si>
    <t>GX 298-18</t>
  </si>
  <si>
    <t>GX 1598-16</t>
  </si>
  <si>
    <t>Roadworthy Status</t>
  </si>
  <si>
    <t>Service days left</t>
  </si>
  <si>
    <t>Service Status</t>
  </si>
  <si>
    <t>Date</t>
  </si>
  <si>
    <t>Driver</t>
  </si>
  <si>
    <t>Vehicle</t>
  </si>
  <si>
    <t>Reg. No</t>
  </si>
  <si>
    <t>Destination</t>
  </si>
  <si>
    <t>Purpose</t>
  </si>
  <si>
    <t>Odometer out</t>
  </si>
  <si>
    <t>Odometer In</t>
  </si>
  <si>
    <t>Distance (km)</t>
  </si>
  <si>
    <t>Fuel Used(L)</t>
  </si>
  <si>
    <t>Mathias</t>
  </si>
  <si>
    <t>Accra Central</t>
  </si>
  <si>
    <t>Electric Items</t>
  </si>
  <si>
    <t>Completed</t>
  </si>
  <si>
    <t>Pantang Hosp.</t>
  </si>
  <si>
    <t>Donation</t>
  </si>
  <si>
    <t>Sakumuno</t>
  </si>
  <si>
    <t>Founder's HSE</t>
  </si>
  <si>
    <t>Fuel Effi(km/L)</t>
  </si>
  <si>
    <t>Remarks</t>
  </si>
  <si>
    <t>North Legon</t>
  </si>
  <si>
    <t>Excursion</t>
  </si>
  <si>
    <t>EMEF Police Station</t>
  </si>
  <si>
    <t>Drugs</t>
  </si>
  <si>
    <t>Mamprobi</t>
  </si>
  <si>
    <t>Kasoa Market</t>
  </si>
  <si>
    <t>Purchase</t>
  </si>
  <si>
    <t>Funeral</t>
  </si>
  <si>
    <t>Aflao Boarder</t>
  </si>
  <si>
    <t>New Legon</t>
  </si>
  <si>
    <t>Comm.25</t>
  </si>
  <si>
    <t>Toyota Yaris</t>
  </si>
  <si>
    <t>Airport</t>
  </si>
  <si>
    <t>Dropoff</t>
  </si>
  <si>
    <t>McCarthy Hill</t>
  </si>
  <si>
    <t>TRIP SUMMARY</t>
  </si>
  <si>
    <t>Total Trips</t>
  </si>
  <si>
    <t>Total Distance(km)</t>
  </si>
  <si>
    <t>Total Fuel Used(L)</t>
  </si>
  <si>
    <t>Average Fuel Efficiency(km/L)</t>
  </si>
  <si>
    <t>VEHICLE &amp; DRIVER MANAGEMENT DASHBOARD</t>
  </si>
  <si>
    <t>FLEET SUMMARY</t>
  </si>
  <si>
    <t>Total Vehicles</t>
  </si>
  <si>
    <t>Total Distance (km)</t>
  </si>
  <si>
    <t>Total Fuel Used (L)</t>
  </si>
  <si>
    <t>Average Fuel Efficiency (km/L)</t>
  </si>
  <si>
    <t>VEHICLE STATUS</t>
  </si>
  <si>
    <t>Roadworthy Expiring _&lt; 30 Days</t>
  </si>
  <si>
    <t>Insurance Expiring _&lt; 30 Days</t>
  </si>
  <si>
    <t>Service Due _&lt; 30 Days</t>
  </si>
  <si>
    <t>Active Vehicles</t>
  </si>
  <si>
    <t>TODAY</t>
  </si>
  <si>
    <t>ATTENTION REQUIRED</t>
  </si>
  <si>
    <t>Expired Roadworthy</t>
  </si>
  <si>
    <t>Roadworthy Expired Soon</t>
  </si>
  <si>
    <t xml:space="preserve">Expired Insurance </t>
  </si>
  <si>
    <t>Insurance Expired Soon</t>
  </si>
  <si>
    <t>Service Overdue</t>
  </si>
  <si>
    <t>Service Due Soon</t>
  </si>
  <si>
    <t>Insurance Days Left</t>
  </si>
  <si>
    <t>Roadworthy Days Left</t>
  </si>
  <si>
    <t>Vehicles</t>
  </si>
  <si>
    <t>Active</t>
  </si>
  <si>
    <t>Metric</t>
  </si>
  <si>
    <t>Value</t>
  </si>
  <si>
    <t>AVERAGE FUEL EFFICIENCY(km/L)</t>
  </si>
  <si>
    <t>Insurance Status</t>
  </si>
  <si>
    <t>Vehicle Availability</t>
  </si>
  <si>
    <t>Hi-Jet</t>
  </si>
  <si>
    <t>ES 106-25</t>
  </si>
  <si>
    <t>GS 4897- Z</t>
  </si>
  <si>
    <t>Under Maintenance</t>
  </si>
  <si>
    <t>Mighty Truck(KIA)</t>
  </si>
  <si>
    <t>GE 3484-20</t>
  </si>
  <si>
    <t>GS 1132-14</t>
  </si>
  <si>
    <t>Out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</si>
</sst>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5" fontId="0" fillId="0" borderId="0" xfId="0" applyNumberFormat="1"/>
    <xf numFmtId="3" fontId="0" fillId="0" borderId="0" xfId="0" applyNumberFormat="1"/>
    <xf numFmtId="15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3" fillId="0" borderId="0" xfId="0" applyFont="1"/>
    <xf numFmtId="14" fontId="0" fillId="0" borderId="0" xfId="0" applyNumberFormat="1"/>
    <xf numFmtId="0" fontId="0" fillId="0" borderId="1" xfId="0" applyBorder="1"/>
    <xf numFmtId="0" fontId="0" fillId="0" borderId="0" xfId="0" applyFill="1" applyBorder="1"/>
    <xf numFmtId="0" fontId="5" fillId="0" borderId="0" xfId="0" applyFont="1"/>
    <xf numFmtId="0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yy;@"/>
    </dxf>
    <dxf>
      <numFmt numFmtId="164" formatCode="[$-409]d\-mmm\-yyyy;@"/>
    </dxf>
    <dxf>
      <numFmt numFmtId="164" formatCode="[$-409]d\-mmm\-yyyy;@"/>
    </dxf>
    <dxf>
      <numFmt numFmtId="164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Vehicles Status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Dashboard!$E$11</c:f>
              <c:strCache>
                <c:ptCount val="1"/>
                <c:pt idx="0">
                  <c:v>Vehicles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Dashboard!$D$12:$D$14</c:f>
              <c:strCache>
                <c:ptCount val="3"/>
                <c:pt idx="0">
                  <c:v>Active</c:v>
                </c:pt>
                <c:pt idx="1">
                  <c:v>Under Maintenance</c:v>
                </c:pt>
                <c:pt idx="2">
                  <c:v>Out of Service</c:v>
                </c:pt>
              </c:strCache>
            </c:strRef>
          </c:cat>
          <c:val>
            <c:numRef>
              <c:f>Dashboard!$E$12:$E$14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7-4F82-9D6C-1FF1D5BD4B2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Trip Performance Overview</a:t>
            </a:r>
          </a:p>
        </c:rich>
      </c:tx>
      <c:layout>
        <c:manualLayout>
          <c:xMode val="edge"/>
          <c:yMode val="edge"/>
          <c:x val="0.18115867966835272"/>
          <c:y val="3.3416901900606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82067059498358"/>
          <c:y val="0.13027592362211851"/>
          <c:w val="0.80552258782221764"/>
          <c:h val="0.52418804822137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Dashboard!$H$11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Dashboard!$G$12:$G$14</c15:sqref>
                  </c15:fullRef>
                </c:ext>
              </c:extLst>
              <c:f>Dashboard!$G$12:$G$13</c:f>
              <c:strCache>
                <c:ptCount val="2"/>
                <c:pt idx="0">
                  <c:v>Total Distance (km)</c:v>
                </c:pt>
                <c:pt idx="1">
                  <c:v>Total Fuel Used (L)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Dashboard!$H$12:$H$14</c15:sqref>
                  </c15:fullRef>
                </c:ext>
              </c:extLst>
              <c:f>Dashboard!$H$12:$H$13</c:f>
              <c:numCache>
                <c:formatCode>General</c:formatCode>
                <c:ptCount val="2"/>
                <c:pt idx="0">
                  <c:v>1314</c:v>
                </c:pt>
                <c:pt idx="1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D-4C8B-8BB8-820AC707F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1359"/>
        <c:axId val="2109043007"/>
      </c:barChart>
      <c:catAx>
        <c:axId val="133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043007"/>
        <c:crosses val="autoZero"/>
        <c:auto val="1"/>
        <c:lblAlgn val="ctr"/>
        <c:lblOffset val="100"/>
        <c:noMultiLvlLbl val="0"/>
      </c:catAx>
      <c:valAx>
        <c:axId val="210904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15</xdr:row>
      <xdr:rowOff>104775</xdr:rowOff>
    </xdr:from>
    <xdr:to>
      <xdr:col>4</xdr:col>
      <xdr:colOff>438150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23CEF-5F16-5FBA-40F6-9A1A48B5C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66676</xdr:colOff>
      <xdr:row>17</xdr:row>
      <xdr:rowOff>0</xdr:rowOff>
    </xdr:from>
    <xdr:to>
      <xdr:col>7</xdr:col>
      <xdr:colOff>361950</xdr:colOff>
      <xdr:row>24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A336CE-F181-C759-D263-4985D7436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B3195-98C0-41B6-8CE6-5B1A6C098A7C}" name="Table1" displayName="Table1" ref="A1:N9" totalsRowShown="0">
  <autoFilter ref="A1:N9" xr:uid="{455B3195-98C0-41B6-8CE6-5B1A6C098A7C}"/>
  <tableColumns count="14">
    <tableColumn id="1" xr3:uid="{2D46B57F-78CF-4F9B-8AA0-1B8F7B2A28B4}" name="Vehicle No.               "/>
    <tableColumn id="4" xr3:uid="{F500B22C-074A-4EE2-BA29-6D3C1F8E8922}" name="Vehicle Type"/>
    <tableColumn id="6" xr3:uid="{9CF347E5-509A-47AB-9DD3-AF3A20E42225}" name="Registtration No."/>
    <tableColumn id="8" xr3:uid="{CBFDD3F4-0867-416A-98F6-DF74DE064DCC}" name="Insurance Expiry" dataDxfId="36"/>
    <tableColumn id="10" xr3:uid="{CD02A399-5E3B-47A0-A7A7-5DDE2CB9070C}" name="Roadworthy Expiry" dataDxfId="35"/>
    <tableColumn id="12" xr3:uid="{A0CC457C-BBA5-494F-8B64-2508985ECBC5}" name="Last service " dataDxfId="34"/>
    <tableColumn id="14" xr3:uid="{AE4E5299-869D-4629-8264-DEC44ED4C790}" name="Next Service " dataDxfId="33"/>
    <tableColumn id="16" xr3:uid="{23117E0A-89DE-448C-9E90-221315755B5B}" name="Insurance Status" dataDxfId="32">
      <calculatedColumnFormula>IF(D2&lt;TODAY(),"Expired", IF(D2&lt;=TODAY()+30, "Expired Soon","Active"))</calculatedColumnFormula>
    </tableColumn>
    <tableColumn id="17" xr3:uid="{08366D79-149B-461A-905F-9B60698F34CF}" name="Insurance Days Left" dataDxfId="31">
      <calculatedColumnFormula>D2-TODAY()</calculatedColumnFormula>
    </tableColumn>
    <tableColumn id="18" xr3:uid="{7F8AC360-7F08-4A2F-AF3F-6E22210F4539}" name="Roadworthy Status" dataDxfId="30">
      <calculatedColumnFormula>IF(E2&lt;TODAY(),"Expired",IF(E2-TODAY()&lt;=30, "Expired Soon","Active"))</calculatedColumnFormula>
    </tableColumn>
    <tableColumn id="19" xr3:uid="{7B4FCE53-1A19-40A6-A171-D1879672266D}" name="Roadworthy Days Left" dataDxfId="29">
      <calculatedColumnFormula>E2-TODAY()</calculatedColumnFormula>
    </tableColumn>
    <tableColumn id="20" xr3:uid="{7F5BB0BB-3724-416C-857F-260B562724B2}" name="Service Status" dataDxfId="28">
      <calculatedColumnFormula>IF(G2&lt;TODAY(),"Overdue",IF(G2-TODAY()&lt;=30,"Due Soon","Serviced"))</calculatedColumnFormula>
    </tableColumn>
    <tableColumn id="21" xr3:uid="{C19D7B30-EDEE-42EA-A020-D05173DB6DCD}" name="Service days left" dataDxfId="27">
      <calculatedColumnFormula>G2-TODAY()</calculatedColumnFormula>
    </tableColumn>
    <tableColumn id="2" xr3:uid="{7DDA5AE4-097E-4377-838C-E96D65045762}" name="Vehicle Availability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72A9A-80D2-4476-9C5F-51041AAD02DB}" name="Table2" displayName="Table2" ref="A1:L3" insertRowShift="1" totalsRowShown="0" headerRowDxfId="25" dataDxfId="24">
  <autoFilter ref="A1:L3" xr:uid="{1F772A9A-80D2-4476-9C5F-51041AAD02DB}"/>
  <tableColumns count="12">
    <tableColumn id="1" xr3:uid="{48DB9702-61A3-4A50-AEE5-BBD3DB450E37}" name="Date" dataDxfId="23"/>
    <tableColumn id="2" xr3:uid="{27E8E59E-D0CC-4F01-A767-5BE31CE7F1BB}" name="Driver" dataDxfId="22"/>
    <tableColumn id="3" xr3:uid="{9E3F570D-1E1D-4D34-8651-D178FEFAF2A3}" name="Vehicle" dataDxfId="21"/>
    <tableColumn id="4" xr3:uid="{9CD039DA-48A9-4391-B183-1E171A015DD8}" name="Reg. No" dataDxfId="20"/>
    <tableColumn id="5" xr3:uid="{B8477D7F-A2A4-4EC0-8754-831E0B8B1EA7}" name="Destination" dataDxfId="19"/>
    <tableColumn id="7" xr3:uid="{1E775B2A-75E1-4988-910F-D4C699972DB9}" name="Purpose" dataDxfId="18"/>
    <tableColumn id="8" xr3:uid="{DD56C711-0449-4B8F-8531-7C37A795FE9A}" name="Odometer out" dataDxfId="17"/>
    <tableColumn id="10" xr3:uid="{19B25C06-3356-43B7-8EA6-4979DB3072A0}" name="Odometer In" dataDxfId="16"/>
    <tableColumn id="12" xr3:uid="{1D6EAA58-7965-4ADF-8D27-A6D3E2235F82}" name="Distance (km)" dataDxfId="15">
      <calculatedColumnFormula>H2-G2</calculatedColumnFormula>
    </tableColumn>
    <tableColumn id="14" xr3:uid="{791022B5-FF3F-44BF-8718-59EBBB7DFDF9}" name="Fuel Used(L)" dataDxfId="14"/>
    <tableColumn id="16" xr3:uid="{D8EF691F-186B-47E4-A753-1ED34E7FA494}" name="Fuel Effi(km/L)" dataDxfId="13">
      <calculatedColumnFormula>IFERROR(I2/J2,0)</calculatedColumnFormula>
    </tableColumn>
    <tableColumn id="16385" xr3:uid="{BD4C2AD4-F568-466F-BDB7-F6750C7D4CE8}" name="Remarks" dataDxfId="12"/>
  </tableColumns>
  <tableStyleInfo name="TableStyleMedium2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7170-100C-4EC8-B193-6A746855036E}">
  <dimension ref="A1:N9"/>
  <sheetViews>
    <sheetView tabSelected="1" topLeftCell="J1" workbookViewId="0">
      <selection activeCell="N31" sqref="N31"/>
    </sheetView>
  </sheetViews>
  <sheetFormatPr defaultColWidth="9.14453125" defaultRowHeight="15" x14ac:dyDescent="0.2"/>
  <cols>
    <col min="1" max="1" width="19.90625" customWidth="1"/>
    <col min="2" max="2" width="16.41015625" bestFit="1" customWidth="1"/>
    <col min="3" max="3" width="18.4296875" customWidth="1"/>
    <col min="4" max="4" width="18.0234375" style="3" customWidth="1"/>
    <col min="5" max="5" width="19.90625" style="3" customWidth="1"/>
    <col min="6" max="6" width="14.2578125" style="3" customWidth="1"/>
    <col min="7" max="7" width="14.9296875" style="3" customWidth="1"/>
    <col min="8" max="8" width="18.4296875" bestFit="1" customWidth="1"/>
    <col min="9" max="9" width="21.25390625" bestFit="1" customWidth="1"/>
    <col min="10" max="10" width="20.4453125" bestFit="1" customWidth="1"/>
    <col min="11" max="11" width="23.13671875" bestFit="1" customWidth="1"/>
    <col min="12" max="12" width="16.27734375" bestFit="1" customWidth="1"/>
    <col min="13" max="13" width="18.29296875" bestFit="1" customWidth="1"/>
    <col min="14" max="14" width="20.58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84</v>
      </c>
      <c r="I1" s="1" t="s">
        <v>77</v>
      </c>
      <c r="J1" t="s">
        <v>15</v>
      </c>
      <c r="K1" t="s">
        <v>78</v>
      </c>
      <c r="L1" t="s">
        <v>17</v>
      </c>
      <c r="M1" t="s">
        <v>16</v>
      </c>
      <c r="N1" t="s">
        <v>85</v>
      </c>
    </row>
    <row r="2" spans="1:14" x14ac:dyDescent="0.2">
      <c r="A2">
        <v>1</v>
      </c>
      <c r="B2" t="s">
        <v>9</v>
      </c>
      <c r="C2" t="s">
        <v>8</v>
      </c>
      <c r="D2" s="3">
        <v>46446</v>
      </c>
      <c r="E2" s="3">
        <v>46258</v>
      </c>
      <c r="F2" s="3">
        <v>46232</v>
      </c>
      <c r="G2" s="3">
        <v>46324</v>
      </c>
      <c r="H2" t="str">
        <f t="shared" ref="H2:H9" ca="1" si="0">IF(D2&lt;TODAY(),"Expired", IF(D2&lt;=TODAY()+30, "Expired Soon","Active"))</f>
        <v>Active</v>
      </c>
      <c r="I2">
        <f ca="1">D2-TODAY()</f>
        <v>190</v>
      </c>
      <c r="J2" t="str">
        <f t="shared" ref="J2:J5" ca="1" si="1">IF(E2&lt;TODAY(),"Expired",IF(E2-TODAY()&lt;=30, "Expired Soon","Active"))</f>
        <v>Expired Soon</v>
      </c>
      <c r="K2">
        <f t="shared" ref="K2:K5" ca="1" si="2">E2-TODAY()</f>
        <v>2</v>
      </c>
      <c r="L2" t="str">
        <f t="shared" ref="L2:L5" ca="1" si="3">IF(G2&lt;TODAY(),"Overdue",IF(G2-TODAY()&lt;=30,"Due Soon","Serviced"))</f>
        <v>Serviced</v>
      </c>
      <c r="M2">
        <f t="shared" ref="M2:M5" ca="1" si="4">G2-TODAY()</f>
        <v>68</v>
      </c>
      <c r="N2" s="14" t="s">
        <v>80</v>
      </c>
    </row>
    <row r="3" spans="1:14" x14ac:dyDescent="0.2">
      <c r="A3">
        <v>2</v>
      </c>
      <c r="B3" t="s">
        <v>10</v>
      </c>
      <c r="C3" t="s">
        <v>11</v>
      </c>
      <c r="D3" s="3">
        <v>46518</v>
      </c>
      <c r="E3" s="3">
        <v>46440</v>
      </c>
      <c r="F3" s="3">
        <v>46219</v>
      </c>
      <c r="G3" s="3">
        <v>46311</v>
      </c>
      <c r="H3" t="str">
        <f t="shared" ca="1" si="0"/>
        <v>Active</v>
      </c>
      <c r="I3">
        <f ca="1">D3-TODAY()</f>
        <v>262</v>
      </c>
      <c r="J3" t="str">
        <f t="shared" ca="1" si="1"/>
        <v>Active</v>
      </c>
      <c r="K3">
        <f t="shared" ca="1" si="2"/>
        <v>184</v>
      </c>
      <c r="L3" t="str">
        <f t="shared" ca="1" si="3"/>
        <v>Serviced</v>
      </c>
      <c r="M3">
        <f t="shared" ca="1" si="4"/>
        <v>55</v>
      </c>
      <c r="N3" s="14" t="s">
        <v>80</v>
      </c>
    </row>
    <row r="4" spans="1:14" x14ac:dyDescent="0.2">
      <c r="A4">
        <v>3</v>
      </c>
      <c r="B4" t="s">
        <v>12</v>
      </c>
      <c r="C4" t="s">
        <v>13</v>
      </c>
      <c r="D4" s="3">
        <v>46519</v>
      </c>
      <c r="E4" s="3">
        <v>46267</v>
      </c>
      <c r="F4" s="3">
        <v>46219</v>
      </c>
      <c r="G4" s="3">
        <v>46311</v>
      </c>
      <c r="H4" t="str">
        <f t="shared" ca="1" si="0"/>
        <v>Active</v>
      </c>
      <c r="I4">
        <f ca="1">D4-TODAY()</f>
        <v>263</v>
      </c>
      <c r="J4" t="str">
        <f t="shared" ca="1" si="1"/>
        <v>Expired Soon</v>
      </c>
      <c r="K4">
        <f t="shared" ca="1" si="2"/>
        <v>11</v>
      </c>
      <c r="L4" t="str">
        <f t="shared" ca="1" si="3"/>
        <v>Serviced</v>
      </c>
      <c r="M4">
        <f t="shared" ca="1" si="4"/>
        <v>55</v>
      </c>
      <c r="N4" s="14" t="s">
        <v>80</v>
      </c>
    </row>
    <row r="5" spans="1:14" x14ac:dyDescent="0.2">
      <c r="A5">
        <v>4</v>
      </c>
      <c r="B5" t="s">
        <v>12</v>
      </c>
      <c r="C5" t="s">
        <v>14</v>
      </c>
      <c r="D5" s="3">
        <v>46427</v>
      </c>
      <c r="E5" s="3">
        <v>46364</v>
      </c>
      <c r="F5" s="3">
        <v>46219</v>
      </c>
      <c r="G5" s="3">
        <v>46311</v>
      </c>
      <c r="H5" t="str">
        <f t="shared" ca="1" si="0"/>
        <v>Active</v>
      </c>
      <c r="I5">
        <f ca="1">D5-TODAY()</f>
        <v>171</v>
      </c>
      <c r="J5" t="str">
        <f t="shared" ca="1" si="1"/>
        <v>Active</v>
      </c>
      <c r="K5">
        <f t="shared" ca="1" si="2"/>
        <v>108</v>
      </c>
      <c r="L5" t="str">
        <f t="shared" ca="1" si="3"/>
        <v>Serviced</v>
      </c>
      <c r="M5">
        <f t="shared" ca="1" si="4"/>
        <v>55</v>
      </c>
      <c r="N5" s="14" t="s">
        <v>80</v>
      </c>
    </row>
    <row r="6" spans="1:14" x14ac:dyDescent="0.2">
      <c r="A6">
        <v>5</v>
      </c>
      <c r="B6" t="s">
        <v>86</v>
      </c>
      <c r="C6" t="s">
        <v>87</v>
      </c>
      <c r="E6" s="3">
        <v>46281</v>
      </c>
      <c r="F6" s="3">
        <v>46219</v>
      </c>
      <c r="G6" s="3">
        <v>46311</v>
      </c>
      <c r="H6" t="str">
        <f t="shared" ca="1" si="0"/>
        <v>Expired</v>
      </c>
      <c r="I6" s="3">
        <f ca="1">D6-TODAY()</f>
        <v>-46256</v>
      </c>
      <c r="J6" s="14" t="str">
        <f ca="1">IF(E6&lt;TODAY(),"Expired",IF(E6-TODAY()&lt;=30, "Expired Soon","Active"))</f>
        <v>Expired Soon</v>
      </c>
      <c r="K6" s="14">
        <f ca="1">E6-TODAY()</f>
        <v>25</v>
      </c>
      <c r="L6" s="14" t="str">
        <f ca="1">IF(G6&lt;TODAY(),"Overdue",IF(G6-TODAY()&lt;=30,"Due Soon","Serviced"))</f>
        <v>Serviced</v>
      </c>
      <c r="M6" s="14">
        <f ca="1">G6-TODAY()</f>
        <v>55</v>
      </c>
      <c r="N6" s="14" t="s">
        <v>80</v>
      </c>
    </row>
    <row r="7" spans="1:14" x14ac:dyDescent="0.2">
      <c r="A7">
        <v>6</v>
      </c>
      <c r="B7" t="s">
        <v>9</v>
      </c>
      <c r="C7" t="s">
        <v>88</v>
      </c>
      <c r="H7" t="str">
        <f t="shared" ca="1" si="0"/>
        <v>Expired</v>
      </c>
      <c r="I7" s="3">
        <f ca="1">D7-TODAY()</f>
        <v>-46256</v>
      </c>
      <c r="J7" s="14" t="str">
        <f ca="1">IF(E7&lt;TODAY(),"Expired",IF(E7-TODAY()&lt;=30, "Expired Soon","Active"))</f>
        <v>Expired</v>
      </c>
      <c r="K7" s="3">
        <f ca="1">E7-TODAY()</f>
        <v>-46256</v>
      </c>
      <c r="L7" s="14" t="str">
        <f ca="1">IF(G7&lt;TODAY(),"Overdue",IF(G7-TODAY()&lt;=30,"Due Soon","Serviced"))</f>
        <v>Overdue</v>
      </c>
      <c r="M7" s="3">
        <f ca="1">G7-TODAY()</f>
        <v>-46256</v>
      </c>
      <c r="N7" s="14" t="s">
        <v>89</v>
      </c>
    </row>
    <row r="8" spans="1:14" x14ac:dyDescent="0.2">
      <c r="A8">
        <v>7</v>
      </c>
      <c r="B8" t="s">
        <v>90</v>
      </c>
      <c r="C8" t="s">
        <v>91</v>
      </c>
      <c r="E8" s="3">
        <v>46295</v>
      </c>
      <c r="H8" t="str">
        <f t="shared" ca="1" si="0"/>
        <v>Expired</v>
      </c>
      <c r="I8" s="3">
        <f ca="1">D8-TODAY()</f>
        <v>-46256</v>
      </c>
      <c r="J8" s="14" t="str">
        <f ca="1">IF(E8&lt;TODAY(),"Expired",IF(E8-TODAY()&lt;=30, "Expired Soon","Active"))</f>
        <v>Active</v>
      </c>
      <c r="K8" s="14">
        <f ca="1">E8-TODAY()</f>
        <v>39</v>
      </c>
      <c r="L8" s="14" t="str">
        <f ca="1">IF(G8&lt;TODAY(),"Overdue",IF(G8-TODAY()&lt;=30,"Due Soon","Serviced"))</f>
        <v>Overdue</v>
      </c>
      <c r="M8" s="3">
        <f ca="1">G8-TODAY()</f>
        <v>-46256</v>
      </c>
      <c r="N8" s="14" t="s">
        <v>89</v>
      </c>
    </row>
    <row r="9" spans="1:14" x14ac:dyDescent="0.2">
      <c r="A9">
        <v>8</v>
      </c>
      <c r="B9" t="s">
        <v>49</v>
      </c>
      <c r="C9" t="s">
        <v>92</v>
      </c>
      <c r="D9" s="3">
        <v>46519</v>
      </c>
      <c r="E9" s="3">
        <v>46295</v>
      </c>
      <c r="H9" t="str">
        <f t="shared" ca="1" si="0"/>
        <v>Active</v>
      </c>
      <c r="I9" s="14">
        <f ca="1">D9-TODAY()</f>
        <v>263</v>
      </c>
      <c r="J9" s="14" t="str">
        <f ca="1">IF(E9&lt;TODAY(),"Expired",IF(E9-TODAY()&lt;=30, "Expired Soon","Active"))</f>
        <v>Active</v>
      </c>
      <c r="K9" s="14">
        <f ca="1">E9-TODAY()</f>
        <v>39</v>
      </c>
      <c r="L9" s="14" t="str">
        <f ca="1">IF(G9&lt;TODAY(),"Overdue",IF(G9-TODAY()&lt;=30,"Due Soon","Serviced"))</f>
        <v>Overdue</v>
      </c>
      <c r="M9" s="3">
        <f ca="1">G9-TODAY()</f>
        <v>-46256</v>
      </c>
      <c r="N9" s="14" t="s">
        <v>93</v>
      </c>
    </row>
  </sheetData>
  <conditionalFormatting sqref="H1:H1048576">
    <cfRule type="containsText" dxfId="11" priority="5" operator="containsText" text="Expired">
      <formula>NOT(ISERROR(SEARCH("Expired",H1)))</formula>
    </cfRule>
    <cfRule type="containsText" dxfId="10" priority="6" operator="containsText" text="Expired Soon">
      <formula>NOT(ISERROR(SEARCH("Expired Soon",H1)))</formula>
    </cfRule>
    <cfRule type="containsText" dxfId="9" priority="7" operator="containsText" text="Active">
      <formula>NOT(ISERROR(SEARCH("Active",H1)))</formula>
    </cfRule>
  </conditionalFormatting>
  <conditionalFormatting sqref="H2:H100">
    <cfRule type="containsText" dxfId="8" priority="1" operator="containsText" text="Expired Soon">
      <formula>NOT(ISERROR(SEARCH("Expired Soon",H2)))</formula>
    </cfRule>
  </conditionalFormatting>
  <conditionalFormatting sqref="J1:J1048576">
    <cfRule type="containsText" dxfId="7" priority="8" operator="containsText" text="Expired Soon">
      <formula>NOT(ISERROR(SEARCH("Expired Soon",J1)))</formula>
    </cfRule>
    <cfRule type="containsText" dxfId="6" priority="9" operator="containsText" text="Expired">
      <formula>NOT(ISERROR(SEARCH("Expired",J1)))</formula>
    </cfRule>
    <cfRule type="containsText" dxfId="5" priority="10" operator="containsText" text="Active">
      <formula>NOT(ISERROR(SEARCH("Active",J1)))</formula>
    </cfRule>
    <cfRule type="containsText" dxfId="4" priority="11" operator="containsText" text="Expired Soon">
      <formula>NOT(ISERROR(SEARCH("Expired Soon",J1)))</formula>
    </cfRule>
  </conditionalFormatting>
  <conditionalFormatting sqref="L1:L1048576">
    <cfRule type="containsText" dxfId="3" priority="2" operator="containsText" text="Overdue">
      <formula>NOT(ISERROR(SEARCH("Overdue",L1)))</formula>
    </cfRule>
    <cfRule type="containsText" dxfId="2" priority="3" operator="containsText" text="Due Soon">
      <formula>NOT(ISERROR(SEARCH("Due Soon",L1)))</formula>
    </cfRule>
    <cfRule type="containsText" dxfId="1" priority="4" operator="containsText" text="Serviced">
      <formula>NOT(ISERROR(SEARCH("Serviced",L1)))</formula>
    </cfRule>
  </conditionalFormatting>
  <dataValidations count="1">
    <dataValidation type="list" allowBlank="1" showInputMessage="1" showErrorMessage="1" sqref="N2:N100" xr:uid="{44FA0364-D91A-4C9A-B48B-B48F6A594381}">
      <formula1>"Active,Under Maintenance, Out of Service"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A405-49CB-4220-89C7-E639640AAD9C}">
  <dimension ref="A1:XFC27"/>
  <sheetViews>
    <sheetView topLeftCell="D1" workbookViewId="0">
      <selection activeCell="B24" sqref="B24"/>
    </sheetView>
  </sheetViews>
  <sheetFormatPr defaultColWidth="9.14453125" defaultRowHeight="15" x14ac:dyDescent="0.2"/>
  <cols>
    <col min="1" max="1" width="27.3046875" bestFit="1" customWidth="1"/>
    <col min="2" max="2" width="9.14453125" customWidth="1"/>
    <col min="3" max="3" width="14.125" bestFit="1" customWidth="1"/>
    <col min="4" max="4" width="10.0859375" customWidth="1"/>
    <col min="5" max="5" width="13.71875" customWidth="1"/>
    <col min="6" max="6" width="13.5859375" bestFit="1" customWidth="1"/>
    <col min="7" max="7" width="15.73828125" customWidth="1"/>
    <col min="8" max="8" width="14.390625" customWidth="1"/>
    <col min="9" max="9" width="15.73828125" customWidth="1"/>
    <col min="10" max="10" width="14.390625" customWidth="1"/>
    <col min="11" max="11" width="16.6796875" bestFit="1" customWidth="1"/>
    <col min="12" max="12" width="12.23828125" customWidth="1"/>
    <col min="13" max="100" width="12.23828125" hidden="1"/>
    <col min="101" max="1000" width="13.31640625" hidden="1"/>
    <col min="1001" max="10000" width="14.2578125" hidden="1"/>
    <col min="10001" max="16383" width="15.33203125" hidden="1"/>
    <col min="16384" max="16384" width="3.09375" hidden="1" customWidth="1"/>
  </cols>
  <sheetData>
    <row r="1" spans="1:12" s="1" customFormat="1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36</v>
      </c>
      <c r="L1" s="1" t="s">
        <v>37</v>
      </c>
    </row>
    <row r="2" spans="1:12" s="1" customFormat="1" hidden="1" x14ac:dyDescent="0.2">
      <c r="I2" s="7"/>
      <c r="K2" s="1">
        <f t="shared" ref="K2:K3" si="0">IFERROR(I2/J2,0)</f>
        <v>0</v>
      </c>
    </row>
    <row r="3" spans="1:12" x14ac:dyDescent="0.2">
      <c r="A3" s="6">
        <v>46191</v>
      </c>
      <c r="B3" s="1" t="s">
        <v>28</v>
      </c>
      <c r="C3" s="1" t="s">
        <v>10</v>
      </c>
      <c r="D3" s="1" t="s">
        <v>11</v>
      </c>
      <c r="E3" s="1" t="s">
        <v>29</v>
      </c>
      <c r="F3" s="1" t="s">
        <v>30</v>
      </c>
      <c r="G3" s="7">
        <v>58600</v>
      </c>
      <c r="H3" s="7">
        <v>58685</v>
      </c>
      <c r="I3" s="7">
        <f t="shared" ref="I3" si="1">H3-G3</f>
        <v>85</v>
      </c>
      <c r="J3" s="1">
        <v>15</v>
      </c>
      <c r="K3" s="1">
        <f t="shared" si="0"/>
        <v>5.666666666666667</v>
      </c>
      <c r="L3" s="1" t="s">
        <v>31</v>
      </c>
    </row>
    <row r="4" spans="1:12" x14ac:dyDescent="0.2">
      <c r="A4" s="4">
        <v>46192</v>
      </c>
      <c r="B4" t="s">
        <v>28</v>
      </c>
      <c r="C4" t="s">
        <v>9</v>
      </c>
      <c r="D4" t="s">
        <v>8</v>
      </c>
      <c r="E4" t="s">
        <v>32</v>
      </c>
      <c r="F4" t="s">
        <v>33</v>
      </c>
      <c r="G4" s="5">
        <v>102100</v>
      </c>
      <c r="H4" s="5">
        <v>102165</v>
      </c>
      <c r="I4" s="5">
        <f>H4-G4</f>
        <v>65</v>
      </c>
      <c r="J4">
        <v>50</v>
      </c>
      <c r="K4">
        <f t="shared" ref="K4:K12" si="2">IFERROR(I4/J4,0)</f>
        <v>1.3</v>
      </c>
      <c r="L4" t="s">
        <v>31</v>
      </c>
    </row>
    <row r="5" spans="1:12" x14ac:dyDescent="0.2">
      <c r="A5" s="4">
        <v>46197</v>
      </c>
      <c r="B5" t="s">
        <v>28</v>
      </c>
      <c r="C5" t="s">
        <v>10</v>
      </c>
      <c r="D5" t="s">
        <v>11</v>
      </c>
      <c r="E5" t="s">
        <v>34</v>
      </c>
      <c r="F5" t="s">
        <v>35</v>
      </c>
      <c r="G5" s="5">
        <v>58800</v>
      </c>
      <c r="H5" s="5">
        <v>58862</v>
      </c>
      <c r="I5" s="5">
        <f>H5-G5</f>
        <v>62</v>
      </c>
      <c r="J5">
        <v>10</v>
      </c>
      <c r="K5">
        <f t="shared" si="2"/>
        <v>6.2</v>
      </c>
      <c r="L5" t="s">
        <v>31</v>
      </c>
    </row>
    <row r="6" spans="1:12" x14ac:dyDescent="0.2">
      <c r="A6" s="4">
        <v>46200</v>
      </c>
      <c r="B6" t="s">
        <v>28</v>
      </c>
      <c r="C6" t="s">
        <v>9</v>
      </c>
      <c r="D6" t="s">
        <v>8</v>
      </c>
      <c r="E6" t="s">
        <v>38</v>
      </c>
      <c r="F6" t="s">
        <v>39</v>
      </c>
      <c r="G6" s="5">
        <v>102190</v>
      </c>
      <c r="H6" s="5">
        <v>102262</v>
      </c>
      <c r="I6" s="5">
        <f>H6-G6</f>
        <v>72</v>
      </c>
      <c r="J6">
        <v>55</v>
      </c>
      <c r="K6">
        <f t="shared" si="2"/>
        <v>1.3090909090909091</v>
      </c>
      <c r="L6" t="s">
        <v>31</v>
      </c>
    </row>
    <row r="7" spans="1:12" x14ac:dyDescent="0.2">
      <c r="A7" s="4">
        <v>46212</v>
      </c>
      <c r="B7" t="s">
        <v>28</v>
      </c>
      <c r="C7" t="s">
        <v>10</v>
      </c>
      <c r="D7" t="s">
        <v>11</v>
      </c>
      <c r="E7" t="s">
        <v>40</v>
      </c>
      <c r="F7" t="s">
        <v>41</v>
      </c>
      <c r="G7" s="5">
        <v>58900</v>
      </c>
      <c r="H7" s="5">
        <v>58980</v>
      </c>
      <c r="I7">
        <v>80</v>
      </c>
      <c r="J7">
        <v>10</v>
      </c>
      <c r="K7">
        <f t="shared" si="2"/>
        <v>8</v>
      </c>
      <c r="L7" t="s">
        <v>31</v>
      </c>
    </row>
    <row r="8" spans="1:12" x14ac:dyDescent="0.2">
      <c r="A8" s="4">
        <v>46213</v>
      </c>
      <c r="B8" t="s">
        <v>28</v>
      </c>
      <c r="C8" t="s">
        <v>9</v>
      </c>
      <c r="D8" t="s">
        <v>8</v>
      </c>
      <c r="E8" t="s">
        <v>42</v>
      </c>
      <c r="F8" t="s">
        <v>45</v>
      </c>
      <c r="G8" s="5">
        <v>102280</v>
      </c>
      <c r="H8" s="5">
        <v>102420</v>
      </c>
      <c r="I8">
        <v>140</v>
      </c>
      <c r="J8">
        <v>65</v>
      </c>
      <c r="K8">
        <f t="shared" si="2"/>
        <v>2.1538461538461537</v>
      </c>
      <c r="L8" t="s">
        <v>31</v>
      </c>
    </row>
    <row r="9" spans="1:12" x14ac:dyDescent="0.2">
      <c r="A9" s="4">
        <v>46224</v>
      </c>
      <c r="B9" t="s">
        <v>28</v>
      </c>
      <c r="C9" t="s">
        <v>10</v>
      </c>
      <c r="D9" t="s">
        <v>11</v>
      </c>
      <c r="E9" t="s">
        <v>43</v>
      </c>
      <c r="F9" t="s">
        <v>44</v>
      </c>
      <c r="G9" s="5">
        <v>59001</v>
      </c>
      <c r="H9" s="5">
        <v>59203</v>
      </c>
      <c r="I9">
        <v>202</v>
      </c>
      <c r="J9">
        <v>25</v>
      </c>
      <c r="K9">
        <f t="shared" si="2"/>
        <v>8.08</v>
      </c>
      <c r="L9" t="s">
        <v>31</v>
      </c>
    </row>
    <row r="10" spans="1:12" x14ac:dyDescent="0.2">
      <c r="A10" s="4">
        <v>46227</v>
      </c>
      <c r="B10" t="s">
        <v>28</v>
      </c>
      <c r="C10" t="s">
        <v>9</v>
      </c>
      <c r="D10" t="s">
        <v>8</v>
      </c>
      <c r="E10" t="s">
        <v>46</v>
      </c>
      <c r="F10" t="s">
        <v>44</v>
      </c>
      <c r="G10" s="5">
        <v>102440</v>
      </c>
      <c r="H10" s="5">
        <v>102798</v>
      </c>
      <c r="I10">
        <v>358</v>
      </c>
      <c r="J10">
        <v>80</v>
      </c>
      <c r="K10">
        <f t="shared" si="2"/>
        <v>4.4749999999999996</v>
      </c>
      <c r="L10" t="s">
        <v>31</v>
      </c>
    </row>
    <row r="11" spans="1:12" x14ac:dyDescent="0.2">
      <c r="A11" s="4">
        <v>46230</v>
      </c>
      <c r="B11" t="s">
        <v>28</v>
      </c>
      <c r="C11" t="s">
        <v>10</v>
      </c>
      <c r="D11" t="s">
        <v>11</v>
      </c>
      <c r="E11" t="s">
        <v>47</v>
      </c>
      <c r="F11" t="s">
        <v>44</v>
      </c>
      <c r="G11" s="5">
        <v>59230</v>
      </c>
      <c r="H11" s="5">
        <v>59380</v>
      </c>
      <c r="I11">
        <v>150</v>
      </c>
      <c r="J11">
        <v>20</v>
      </c>
      <c r="K11">
        <f t="shared" si="2"/>
        <v>7.5</v>
      </c>
      <c r="L11" t="s">
        <v>31</v>
      </c>
    </row>
    <row r="12" spans="1:12" x14ac:dyDescent="0.2">
      <c r="A12" s="4">
        <v>46234</v>
      </c>
      <c r="B12" t="s">
        <v>28</v>
      </c>
      <c r="C12" t="s">
        <v>10</v>
      </c>
      <c r="D12" t="s">
        <v>11</v>
      </c>
      <c r="E12" t="s">
        <v>48</v>
      </c>
      <c r="F12" t="s">
        <v>44</v>
      </c>
      <c r="G12" s="5">
        <v>59400</v>
      </c>
      <c r="H12" s="5">
        <v>59500</v>
      </c>
      <c r="I12">
        <v>100</v>
      </c>
      <c r="J12">
        <v>17</v>
      </c>
      <c r="K12">
        <f t="shared" si="2"/>
        <v>5.882352941176471</v>
      </c>
      <c r="L12" t="s">
        <v>31</v>
      </c>
    </row>
    <row r="13" spans="1:12" x14ac:dyDescent="0.2">
      <c r="A13" s="4">
        <v>46234</v>
      </c>
      <c r="B13" t="s">
        <v>28</v>
      </c>
      <c r="C13" t="s">
        <v>49</v>
      </c>
      <c r="E13" t="s">
        <v>50</v>
      </c>
      <c r="F13" t="s">
        <v>51</v>
      </c>
      <c r="L13" t="s">
        <v>31</v>
      </c>
    </row>
    <row r="14" spans="1:12" x14ac:dyDescent="0.2">
      <c r="A14" s="4">
        <v>46246</v>
      </c>
      <c r="B14" t="s">
        <v>28</v>
      </c>
      <c r="C14" t="s">
        <v>49</v>
      </c>
      <c r="E14" t="s">
        <v>52</v>
      </c>
      <c r="F14" t="s">
        <v>35</v>
      </c>
      <c r="L14" t="s">
        <v>31</v>
      </c>
    </row>
    <row r="23" spans="1:2" x14ac:dyDescent="0.2">
      <c r="A23" t="s">
        <v>53</v>
      </c>
    </row>
    <row r="24" spans="1:2" x14ac:dyDescent="0.2">
      <c r="A24" t="s">
        <v>54</v>
      </c>
      <c r="B24">
        <f>COUNTA(A3:A1000)</f>
        <v>17</v>
      </c>
    </row>
    <row r="25" spans="1:2" x14ac:dyDescent="0.2">
      <c r="A25" t="s">
        <v>55</v>
      </c>
      <c r="B25" s="5">
        <f>SUM(I3:I1000)</f>
        <v>1314</v>
      </c>
    </row>
    <row r="26" spans="1:2" x14ac:dyDescent="0.2">
      <c r="A26" t="s">
        <v>56</v>
      </c>
      <c r="B26">
        <f>SUM(J3:J1000)</f>
        <v>347</v>
      </c>
    </row>
    <row r="27" spans="1:2" x14ac:dyDescent="0.2">
      <c r="A27" t="s">
        <v>57</v>
      </c>
      <c r="B27">
        <f>IFERROR(AVERAGE(K3:K1000),0)</f>
        <v>5.0566956670780199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997A-20BF-4BE7-81C9-2E243A903B85}">
  <dimension ref="A1:H17"/>
  <sheetViews>
    <sheetView workbookViewId="0">
      <selection activeCell="A30" sqref="A30"/>
    </sheetView>
  </sheetViews>
  <sheetFormatPr defaultRowHeight="15" x14ac:dyDescent="0.2"/>
  <cols>
    <col min="1" max="1" width="33.765625" bestFit="1" customWidth="1"/>
    <col min="4" max="4" width="28.78515625" bestFit="1" customWidth="1"/>
    <col min="7" max="7" width="30.1328125" bestFit="1" customWidth="1"/>
  </cols>
  <sheetData>
    <row r="1" spans="1:8" ht="24.75" x14ac:dyDescent="0.35">
      <c r="A1" s="15" t="s">
        <v>58</v>
      </c>
      <c r="B1" s="16"/>
      <c r="C1" s="16"/>
      <c r="D1" s="16"/>
      <c r="E1" s="16"/>
      <c r="F1" s="16"/>
      <c r="G1" s="16"/>
      <c r="H1" s="16"/>
    </row>
    <row r="3" spans="1:8" ht="24.75" x14ac:dyDescent="0.35">
      <c r="A3" s="8" t="s">
        <v>59</v>
      </c>
      <c r="D3" s="8" t="s">
        <v>64</v>
      </c>
      <c r="G3" s="9" t="s">
        <v>69</v>
      </c>
      <c r="H3" s="10">
        <f ca="1">TODAY()</f>
        <v>46256</v>
      </c>
    </row>
    <row r="4" spans="1:8" x14ac:dyDescent="0.2">
      <c r="A4" s="1" t="s">
        <v>60</v>
      </c>
      <c r="B4">
        <f>COUNTA('Vehicle Register'!C:C)-1</f>
        <v>8</v>
      </c>
      <c r="D4" s="1" t="s">
        <v>65</v>
      </c>
      <c r="E4">
        <f ca="1">COUNTIFS('Vehicle Register'!K:K,"&gt;=0",'Vehicle Register'!K:K,"&lt;=30")</f>
        <v>3</v>
      </c>
    </row>
    <row r="5" spans="1:8" x14ac:dyDescent="0.2">
      <c r="A5" s="1" t="s">
        <v>54</v>
      </c>
      <c r="B5">
        <f>COUNTA('Driver Trip Log'!A:A)-1</f>
        <v>17</v>
      </c>
      <c r="D5" s="1" t="s">
        <v>66</v>
      </c>
      <c r="E5">
        <f ca="1">COUNTIFS('Vehicle Register'!I:I,"&gt;=0",'Vehicle Register'!I:I,"&lt;=30")</f>
        <v>0</v>
      </c>
    </row>
    <row r="6" spans="1:8" x14ac:dyDescent="0.2">
      <c r="A6" s="1" t="s">
        <v>61</v>
      </c>
      <c r="B6">
        <f>SUM('Driver Trip Log'!I:I)</f>
        <v>1314</v>
      </c>
      <c r="D6" s="1" t="s">
        <v>67</v>
      </c>
      <c r="E6">
        <f ca="1">COUNTIFS('Vehicle Register'!M:M,"&gt;=0",'Vehicle Register'!M:M,"&lt;=30")</f>
        <v>0</v>
      </c>
    </row>
    <row r="7" spans="1:8" x14ac:dyDescent="0.2">
      <c r="A7" s="1" t="s">
        <v>62</v>
      </c>
      <c r="B7">
        <f>SUM('Driver Trip Log'!J:J)</f>
        <v>347</v>
      </c>
      <c r="D7" s="1" t="s">
        <v>68</v>
      </c>
      <c r="E7">
        <f ca="1">COUNTIFS('Vehicle Register'!H:H,"Active")</f>
        <v>5</v>
      </c>
    </row>
    <row r="8" spans="1:8" x14ac:dyDescent="0.2">
      <c r="A8" s="1" t="s">
        <v>63</v>
      </c>
      <c r="B8">
        <f>IFERROR(AVERAGE('Driver Trip Log'!K:K),0)</f>
        <v>4.5969960609800182</v>
      </c>
      <c r="D8" s="1" t="s">
        <v>89</v>
      </c>
      <c r="E8">
        <f>COUNTIF('Vehicle Register'!N:N,"Under Maintenance")</f>
        <v>2</v>
      </c>
    </row>
    <row r="9" spans="1:8" x14ac:dyDescent="0.2">
      <c r="D9" s="1" t="s">
        <v>93</v>
      </c>
      <c r="E9">
        <f>COUNTIF('Vehicle Register'!N:N,"Out of Service")</f>
        <v>1</v>
      </c>
    </row>
    <row r="11" spans="1:8" ht="24.75" x14ac:dyDescent="0.35">
      <c r="A11" s="9" t="s">
        <v>70</v>
      </c>
      <c r="D11" s="1" t="s">
        <v>7</v>
      </c>
      <c r="E11" s="1" t="s">
        <v>79</v>
      </c>
      <c r="G11" s="1" t="s">
        <v>81</v>
      </c>
      <c r="H11" s="1" t="s">
        <v>82</v>
      </c>
    </row>
    <row r="12" spans="1:8" x14ac:dyDescent="0.2">
      <c r="A12" s="1" t="s">
        <v>71</v>
      </c>
      <c r="B12">
        <f ca="1">COUNTIF('Vehicle Register'!J:J,"Expired")</f>
        <v>1</v>
      </c>
      <c r="D12" t="s">
        <v>80</v>
      </c>
      <c r="E12">
        <f>COUNTIF('Vehicle Register'!N:N,"Active")</f>
        <v>5</v>
      </c>
      <c r="G12" t="s">
        <v>61</v>
      </c>
      <c r="H12">
        <f>B6</f>
        <v>1314</v>
      </c>
    </row>
    <row r="13" spans="1:8" x14ac:dyDescent="0.2">
      <c r="A13" s="1" t="s">
        <v>72</v>
      </c>
      <c r="B13">
        <f ca="1">COUNTIF('Vehicle Register'!J:J,"Expired Soon")</f>
        <v>3</v>
      </c>
      <c r="D13" s="11" t="s">
        <v>89</v>
      </c>
      <c r="E13">
        <f>COUNTIF('Vehicle Register'!N:N,"Under Maintenance")</f>
        <v>2</v>
      </c>
      <c r="G13" t="s">
        <v>62</v>
      </c>
      <c r="H13">
        <f>B7</f>
        <v>347</v>
      </c>
    </row>
    <row r="14" spans="1:8" x14ac:dyDescent="0.2">
      <c r="A14" s="1" t="s">
        <v>73</v>
      </c>
      <c r="B14">
        <f ca="1">COUNTIF('Vehicle Register'!H:H,"Expired")</f>
        <v>3</v>
      </c>
      <c r="D14" s="12" t="s">
        <v>93</v>
      </c>
      <c r="E14">
        <f>COUNTIF('Vehicle Register'!N:N,"Out of Service")</f>
        <v>1</v>
      </c>
      <c r="G14" t="s">
        <v>57</v>
      </c>
      <c r="H14">
        <f>B8</f>
        <v>4.5969960609800182</v>
      </c>
    </row>
    <row r="15" spans="1:8" x14ac:dyDescent="0.2">
      <c r="A15" s="1" t="s">
        <v>74</v>
      </c>
      <c r="B15">
        <f ca="1">COUNTIF('Vehicle Register'!H:H,"Expired Soon")</f>
        <v>0</v>
      </c>
      <c r="D15" s="12"/>
    </row>
    <row r="16" spans="1:8" x14ac:dyDescent="0.2">
      <c r="A16" s="1" t="s">
        <v>75</v>
      </c>
      <c r="B16">
        <f ca="1">COUNTIF('Vehicle Register'!L:L,"Overdue")</f>
        <v>3</v>
      </c>
      <c r="G16" s="1" t="s">
        <v>83</v>
      </c>
    </row>
    <row r="17" spans="1:7" ht="27" x14ac:dyDescent="0.4">
      <c r="A17" s="1" t="s">
        <v>76</v>
      </c>
      <c r="B17">
        <f ca="1">COUNTIF('Vehicle Register'!L:L,"Due Soon")</f>
        <v>0</v>
      </c>
      <c r="G17" s="13">
        <f>B8</f>
        <v>4.5969960609800182</v>
      </c>
    </row>
  </sheetData>
  <mergeCells count="1">
    <mergeCell ref="A1:H1"/>
  </mergeCells>
  <conditionalFormatting sqref="B12:B17">
    <cfRule type="cellIs" dxfId="0" priority="1" operator="greaterThan">
      <formula>0</formula>
    </cfRule>
  </conditionalFormatting>
  <pageMargins left="0.7" right="0.7" top="0.75" bottom="0.75" header="0.3" footer="0.3"/>
  <pageSetup paperSize="9" scale="0" firstPageNumber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 Register</vt:lpstr>
      <vt:lpstr>Driver Trip Log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fiaviyawmathias@gmail.com</dc:creator>
  <cp:lastModifiedBy>fiaviyawmathias@gmail.com</cp:lastModifiedBy>
  <dcterms:created xsi:type="dcterms:W3CDTF">2026-08-03T14:57:07Z</dcterms:created>
  <dcterms:modified xsi:type="dcterms:W3CDTF">2026-08-20T21:09:21Z</dcterms:modified>
</cp:coreProperties>
</file>